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Laptop\Desktop\Code\Python\Jupyter Notebook\Thesis 2024 U.S. Presidential Election Sentiment Analysis\5) BERT Based Models\Model Results and Actual Data\"/>
    </mc:Choice>
  </mc:AlternateContent>
  <xr:revisionPtr revIDLastSave="0" documentId="8_{FF5732EB-2890-459E-AFED-4BD547DE3BC3}" xr6:coauthVersionLast="47" xr6:coauthVersionMax="47" xr10:uidLastSave="{00000000-0000-0000-0000-000000000000}"/>
  <bookViews>
    <workbookView xWindow="-96" yWindow="0" windowWidth="11712" windowHeight="12336" xr2:uid="{F8B1C116-4DED-40D9-960E-FDBE5FA5BEEC}"/>
  </bookViews>
  <sheets>
    <sheet name="Predicted Sentiment Shares" sheetId="1" r:id="rId1"/>
  </sheets>
  <calcPr calcId="0"/>
</workbook>
</file>

<file path=xl/calcChain.xml><?xml version="1.0" encoding="utf-8"?>
<calcChain xmlns="http://schemas.openxmlformats.org/spreadsheetml/2006/main">
  <c r="H7" i="1" l="1"/>
  <c r="H6" i="1"/>
  <c r="H5" i="1"/>
  <c r="H4" i="1"/>
  <c r="H2" i="1"/>
  <c r="H3" i="1"/>
  <c r="G2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<sst xmlns="http://schemas.openxmlformats.org/spreadsheetml/2006/main" count="19" uniqueCount="12">
  <si>
    <t>State</t>
  </si>
  <si>
    <t>Presidential_Candidate</t>
  </si>
  <si>
    <t>Average_Sentiment</t>
  </si>
  <si>
    <t>Softmax_Normalized_Average_Sentiment</t>
  </si>
  <si>
    <t>Softmax_Share_Percentage</t>
  </si>
  <si>
    <t>Arizona</t>
  </si>
  <si>
    <t>Donald Trump</t>
  </si>
  <si>
    <t>Kamala Harris</t>
  </si>
  <si>
    <t>Michigan</t>
  </si>
  <si>
    <t>Pennsylvania</t>
  </si>
  <si>
    <t>Softmax with *100 (Josh)</t>
  </si>
  <si>
    <t>Softmax without *100 but with Proportion (Reaven)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</si>
</sst>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27E9-21A0-4E75-9124-A1DA373D6187}">
  <dimension ref="A1:H7"/>
  <sheetViews>
    <sheetView tabSelected="1" topLeftCell="E1" workbookViewId="0">
      <selection activeCell="H8" sqref="H8"/>
    </sheetView>
  </sheetViews>
  <sheetFormatPr defaultRowHeight="14.4" x14ac:dyDescent="0.3"/>
  <cols>
    <col min="3" max="3" width="20.5546875" customWidth="1"/>
    <col min="4" max="4" width="34.21875" bestFit="1" customWidth="1"/>
    <col min="5" max="5" width="23.21875" bestFit="1" customWidth="1"/>
    <col min="7" max="7" width="20.6640625" bestFit="1" customWidth="1"/>
    <col min="8" max="8" width="4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10</v>
      </c>
      <c r="H1" t="s">
        <v>11</v>
      </c>
    </row>
    <row r="2" spans="1:8" x14ac:dyDescent="0.3">
      <c r="A2" t="s">
        <v>5</v>
      </c>
      <c r="B2" t="s">
        <v>6</v>
      </c>
      <c r="C2">
        <v>-9.0819348469891398E-2</v>
      </c>
      <c r="D2">
        <v>0.450150397819364</v>
      </c>
      <c r="E2">
        <v>45.015039781936402</v>
      </c>
      <c r="G2">
        <f>D2/SUM(D2,D3)*100</f>
        <v>45.015039781936437</v>
      </c>
      <c r="H2">
        <f>(E2/(E2+E3))*100</f>
        <v>45.015039781936444</v>
      </c>
    </row>
    <row r="3" spans="1:8" x14ac:dyDescent="0.3">
      <c r="A3" t="s">
        <v>5</v>
      </c>
      <c r="B3" t="s">
        <v>7</v>
      </c>
      <c r="C3">
        <v>0.109243697478991</v>
      </c>
      <c r="D3">
        <v>0.54984960218063506</v>
      </c>
      <c r="E3">
        <v>54.984960218063499</v>
      </c>
      <c r="G3">
        <f>D3/SUM(D2,D3)*100</f>
        <v>54.984960218063549</v>
      </c>
      <c r="H3">
        <f>(E3/(E2+E3))*100</f>
        <v>54.984960218063549</v>
      </c>
    </row>
    <row r="4" spans="1:8" x14ac:dyDescent="0.3">
      <c r="A4" t="s">
        <v>8</v>
      </c>
      <c r="B4" t="s">
        <v>6</v>
      </c>
      <c r="C4">
        <v>0.15770609318996401</v>
      </c>
      <c r="D4">
        <v>0.53770464352222802</v>
      </c>
      <c r="E4">
        <v>53.770464352222803</v>
      </c>
      <c r="G4">
        <f>D4/SUM(D4,D5)*100</f>
        <v>53.770464352222859</v>
      </c>
      <c r="H4">
        <f>(E4/(E4+E5))*100</f>
        <v>53.770464352222859</v>
      </c>
    </row>
    <row r="5" spans="1:8" x14ac:dyDescent="0.3">
      <c r="A5" t="s">
        <v>8</v>
      </c>
      <c r="B5" t="s">
        <v>7</v>
      </c>
      <c r="C5">
        <v>6.6006600660065999E-3</v>
      </c>
      <c r="D5">
        <v>0.46229535647777098</v>
      </c>
      <c r="E5">
        <v>46.229535647777098</v>
      </c>
      <c r="G5">
        <f>D5/SUM(D4,D5)*100</f>
        <v>46.229535647777141</v>
      </c>
      <c r="H5">
        <f>(E5/(E4+E5))*100</f>
        <v>46.229535647777141</v>
      </c>
    </row>
    <row r="6" spans="1:8" x14ac:dyDescent="0.3">
      <c r="A6" t="s">
        <v>9</v>
      </c>
      <c r="B6" t="s">
        <v>6</v>
      </c>
      <c r="C6">
        <v>1.5200868621064E-2</v>
      </c>
      <c r="D6">
        <v>0.47713751352303102</v>
      </c>
      <c r="E6">
        <v>47.713751352303099</v>
      </c>
      <c r="G6">
        <f>D6/SUM(D6,D7)*100</f>
        <v>47.713751352303149</v>
      </c>
      <c r="H6">
        <f>(E6/(E6+E7))*100</f>
        <v>47.713751352303149</v>
      </c>
    </row>
    <row r="7" spans="1:8" x14ac:dyDescent="0.3">
      <c r="A7" t="s">
        <v>9</v>
      </c>
      <c r="B7" t="s">
        <v>7</v>
      </c>
      <c r="C7">
        <v>0.106714628297362</v>
      </c>
      <c r="D7">
        <v>0.52286248647696798</v>
      </c>
      <c r="E7">
        <v>52.286248647696802</v>
      </c>
      <c r="G7">
        <f>D7/SUM(D6,D7)*100</f>
        <v>52.286248647696851</v>
      </c>
      <c r="H7">
        <f>(E7/(E6+E7))*100</f>
        <v>52.286248647696851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Predicted Sentiment Shares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Reaven Dupitas</cp:lastModifiedBy>
  <dcterms:created xsi:type="dcterms:W3CDTF">2025-07-17T06:02:38Z</dcterms:created>
  <dcterms:modified xsi:type="dcterms:W3CDTF">2025-07-17T06:02:38Z</dcterms:modified>
</cp:coreProperties>
</file>